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ky\Downloads\"/>
    </mc:Choice>
  </mc:AlternateContent>
  <xr:revisionPtr revIDLastSave="0" documentId="13_ncr:1_{47A6AA82-2913-4341-B184-A93972478E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ke Sal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0" i="1" l="1"/>
  <c r="Q93" i="1"/>
  <c r="P93" i="1"/>
  <c r="P92" i="1"/>
  <c r="P91" i="1"/>
  <c r="P90" i="1"/>
  <c r="O93" i="1"/>
  <c r="O92" i="1"/>
  <c r="O91" i="1"/>
  <c r="O90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<sst xmlns="http://schemas.openxmlformats.org/spreadsheetml/2006/main" count="815" uniqueCount="160">
  <si>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</si>
  <si>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</si>
  <si>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</si>
  <si>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</si>
  <si>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</si>
  <si>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</si>
  <si>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</si>
  <si>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</si>
  <si>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</si>
  <si>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</si>
  <si>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</si>
  <si>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</si>
  <si>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</si>
  <si>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</si>
  <si>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</si>
  <si>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</si>
  <si>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</si>
  <si>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</si>
  <si>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</si>
  <si>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</si>
  <si>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</si>
  <si>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</si>
  <si>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</si>
  <si>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</si>
  <si>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</si>
  <si>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</si>
  <si>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</si>
  <si>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</si>
  <si>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</si>
  <si>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</si>
  <si>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</si>
  <si>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</si>
  <si>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</si>
  <si>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</si>
  <si>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</si>
  <si>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</si>
  <si>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</si>
  <si>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</si>
  <si>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</si>
  <si>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</si>
  <si>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</si>
  <si>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</si>
  <si>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</si>
  <si>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</si>
  <si>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</si>
  <si>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</si>
  <si>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</si>
  <si>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</si>
  <si>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</si>
  <si>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</si>
  <si>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</si>
  <si>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</si>
  <si>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</si>
  <si>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</si>
  <si>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</si>
  <si>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</si>
  <si>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</si>
  <si>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</si>
  <si>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</si>
  <si>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</si>
  <si>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</si>
  <si>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</si>
  <si>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</si>
  <si>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</si>
  <si>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</si>
  <si>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</si>
  <si>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</si>
  <si>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</si>
  <si>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</si>
  <si>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</si>
  <si>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</si>
  <si>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</si>
  <si>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</si>
  <si>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</si>
  <si>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</si>
  <si>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</si>
  <si>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</si>
  <si>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</si>
  <si>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</si>
  <si>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</si>
  <si>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</si>
  <si>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</si>
  <si>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</si>
  <si>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</si>
  <si>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</si>
  <si>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</si>
  <si>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</si>
  <si>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</si>
  <si>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</si>
  <si>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</si>
  <si>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</si>
  <si>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</si>
  <si>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</si>
  <si>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</si>
  <si>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</si>
  <si>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</si>
  <si>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</si>
  <si>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</si>
  <si>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</si>
  <si>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</si>
  <si>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</si>
  <si>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</si>
  <si>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</si>
  <si>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</si>
  <si>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</si>
  <si>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</si>
  <si>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</si>
  <si>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</si>
  <si>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</si>
  <si>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</si>
  <si>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</si>
  <si>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</si>
  <si>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</si>
  <si>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</si>
  <si>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</si>
  <si>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</si>
  <si>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</si>
  <si>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</si>
  <si>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</si>
  <si>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</si>
  <si>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</si>
  <si>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</si>
  <si>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</si>
  <si>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</si>
  <si>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</si>
  <si>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</si>
  <si>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</si>
  <si>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</si>
  <si>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</si>
  <si>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</si>
  <si>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</si>
  <si>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</si>
  <si>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</si>
  <si>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</si>
  <si>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</si>
  <si>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</si>
  <si>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</si>
  <si>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</si>
  <si>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</si>
  <si>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</si>
  <si>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</si>
  <si>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</si>
  <si>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</si>
  <si>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</si>
  <si>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</si>
  <si>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</si>
  <si>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</si>
  <si>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</si>
  <si>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</si>
  <si>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</si>
  <si>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</si>
  <si>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</si>
  <si>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</si>
  <si>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</si>
  <si>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</si>
  <si>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</si>
  <si>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mean</t>
  </si>
  <si>
    <t>median</t>
  </si>
  <si>
    <t xml:space="preserve">mode 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</si>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</sst>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3"/>
  <sheetViews>
    <sheetView tabSelected="1" topLeftCell="A64" workbookViewId="0">
      <selection activeCell="Q91" sqref="Q91"/>
    </sheetView>
  </sheetViews>
  <sheetFormatPr defaultRowHeight="15" x14ac:dyDescent="0.2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9" max="9" width="15.42578125" bestFit="1" customWidth="1"/>
    <col min="10" max="10" width="19.85546875" bestFit="1" customWidth="1"/>
    <col min="12" max="12" width="14.85546875" bestFit="1" customWidth="1"/>
    <col min="13" max="13" width="25" bestFit="1" customWidth="1"/>
    <col min="15" max="15" width="11.5703125" bestFit="1" customWidth="1"/>
    <col min="16" max="16" width="11" bestFit="1" customWidth="1"/>
    <col min="17" max="17" width="9.85546875" bestFit="1" customWidth="1"/>
    <col min="18" max="18" width="11.42578125" bestFit="1" customWidth="1"/>
    <col min="19" max="19" width="10.85546875" bestFit="1" customWidth="1"/>
  </cols>
  <sheetData>
    <row r="1" spans="1:19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5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25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25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25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25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25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25">
      <c r="A9" s="3" t="s">
        <v>46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25">
      <c r="A10" s="3" t="s">
        <v>47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25">
      <c r="A11" s="3" t="s">
        <v>48</v>
      </c>
      <c r="B11" s="1">
        <v>44535</v>
      </c>
      <c r="C11">
        <v>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25">
      <c r="A12" s="3" t="s">
        <v>51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s="5" t="s">
        <v>53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25">
      <c r="A13" s="3" t="s">
        <v>54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25">
      <c r="A14" s="3" t="s">
        <v>55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25">
      <c r="A15" s="3" t="s">
        <v>56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25">
      <c r="A16" s="3" t="s">
        <v>59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25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53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25">
      <c r="A18" s="3" t="s">
        <v>62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25">
      <c r="A19" s="3" t="s">
        <v>64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25">
      <c r="A20" s="3" t="s">
        <v>65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66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25">
      <c r="A21" s="3" t="s">
        <v>67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s="5" t="s">
        <v>53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25">
      <c r="A22" s="3" t="s">
        <v>68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s="5" t="s">
        <v>70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25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25">
      <c r="A24" s="3" t="s">
        <v>72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s="5" t="s">
        <v>74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25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25">
      <c r="A26" s="3" t="s">
        <v>77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60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25">
      <c r="A27" s="3" t="s">
        <v>78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5">
      <c r="A28" s="3" t="s">
        <v>79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25">
      <c r="A29" s="3" t="s">
        <v>80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81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25">
      <c r="A30" s="3" t="s">
        <v>82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s="5" t="s">
        <v>83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25">
      <c r="A31" s="3" t="s">
        <v>84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25">
      <c r="A32" s="3" t="s">
        <v>85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25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25">
      <c r="A34" s="3" t="s">
        <v>89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25">
      <c r="A35" s="3" t="s">
        <v>90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25">
      <c r="A36" s="3" t="s">
        <v>91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53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25">
      <c r="A37" s="3" t="s">
        <v>92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25">
      <c r="A38" s="3" t="s">
        <v>93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25">
      <c r="A39" s="3" t="s">
        <v>94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25">
      <c r="A40" s="3" t="s">
        <v>95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25">
      <c r="A41" s="3" t="s">
        <v>96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25">
      <c r="A42" s="3" t="s">
        <v>97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25">
      <c r="A43" s="3" t="s">
        <v>98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99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25">
      <c r="A44" s="3" t="s">
        <v>100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25">
      <c r="A45" s="3" t="s">
        <v>101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25">
      <c r="A46" s="3" t="s">
        <v>102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s="5" t="s">
        <v>53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25">
      <c r="A47" s="3" t="s">
        <v>103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25">
      <c r="A48" s="3" t="s">
        <v>104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25">
      <c r="A49" s="3" t="s">
        <v>105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25">
      <c r="A50" s="3" t="s">
        <v>106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25">
      <c r="A51" s="3" t="s">
        <v>107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25">
      <c r="A52" s="3" t="s">
        <v>108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s="5" t="s">
        <v>110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25">
      <c r="A53" s="3" t="s">
        <v>111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s="5" t="s">
        <v>53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25">
      <c r="A54" s="3" t="s">
        <v>112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25">
      <c r="A55" s="3" t="s">
        <v>113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s="5" t="s">
        <v>110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25">
      <c r="A56" s="3" t="s">
        <v>114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66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25">
      <c r="A57" s="3" t="s">
        <v>115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s="5" t="s">
        <v>110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25">
      <c r="A58" s="3" t="s">
        <v>116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s="5" t="s">
        <v>53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25">
      <c r="A59" s="3" t="s">
        <v>118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25">
      <c r="A60" s="3" t="s">
        <v>119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60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25">
      <c r="A61" s="3" t="s">
        <v>120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25">
      <c r="A62" s="3" t="s">
        <v>121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s="5" t="s">
        <v>53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25">
      <c r="A63" s="3" t="s">
        <v>122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s="5" t="s">
        <v>110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25">
      <c r="A64" s="3" t="s">
        <v>124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s="5" t="s">
        <v>125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25">
      <c r="A65" s="3" t="s">
        <v>126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25">
      <c r="A66" s="3" t="s">
        <v>127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s="5" t="s">
        <v>128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25">
      <c r="A67" s="3" t="s">
        <v>129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25">
      <c r="A68" s="3" t="s">
        <v>130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25">
      <c r="A69" s="3" t="s">
        <v>131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25">
      <c r="A70" s="3" t="s">
        <v>132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s="5" t="s">
        <v>81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25">
      <c r="A71" s="3" t="s">
        <v>134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25">
      <c r="A72" s="3" t="s">
        <v>136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s="5" t="s">
        <v>53</v>
      </c>
      <c r="N72">
        <v>11</v>
      </c>
      <c r="O72" s="2">
        <v>1266</v>
      </c>
      <c r="P72" s="2">
        <v>2320</v>
      </c>
      <c r="Q72" s="2">
        <v>1054</v>
      </c>
      <c r="R72" s="2">
        <f t="shared" si="2"/>
        <v>13926</v>
      </c>
      <c r="S72" s="2">
        <f t="shared" si="3"/>
        <v>25520</v>
      </c>
    </row>
    <row r="73" spans="1:19" x14ac:dyDescent="0.25">
      <c r="A73" s="3" t="s">
        <v>137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s="5" t="s">
        <v>74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25">
      <c r="A74" s="3" t="s">
        <v>138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25">
      <c r="A75" s="3" t="s">
        <v>139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s="5" t="s">
        <v>140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25">
      <c r="A76" s="3" t="s">
        <v>141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s="5" t="s">
        <v>53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25">
      <c r="A77" s="3" t="s">
        <v>142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s="5" t="s">
        <v>53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25">
      <c r="A78" s="3" t="s">
        <v>143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s="5" t="s">
        <v>53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25">
      <c r="A79" s="3" t="s">
        <v>145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25">
      <c r="A80" s="3" t="s">
        <v>146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s="5" t="s">
        <v>53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25">
      <c r="A81" s="3" t="s">
        <v>147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60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25">
      <c r="A82" s="3" t="s">
        <v>148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66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25">
      <c r="A83" s="3" t="s">
        <v>149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25">
      <c r="A84" s="3" t="s">
        <v>150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25">
      <c r="A85" s="3" t="s">
        <v>151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s="5" t="s">
        <v>53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25">
      <c r="A86" s="3" t="s">
        <v>152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25">
      <c r="A87" s="3" t="s">
        <v>153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s="5" t="s">
        <v>60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25">
      <c r="A88" s="3" t="s">
        <v>154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25">
      <c r="A89" s="3" t="s">
        <v>155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s="5" t="s">
        <v>60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  <row r="90" spans="1:19" ht="45" x14ac:dyDescent="0.25">
      <c r="N90" t="s">
        <v>156</v>
      </c>
      <c r="O90" s="10">
        <f>AVERAGE(O2:O89)</f>
        <v>1064.2045454545455</v>
      </c>
      <c r="P90" s="2">
        <f>AVERAGE(P2:P89)</f>
        <v>1945.659090909091</v>
      </c>
      <c r="Q90" s="2">
        <f>AVERAGE(Q2:Q89)</f>
        <v>1858.0454545454545</v>
      </c>
    </row>
    <row r="91" spans="1:19" x14ac:dyDescent="0.25">
      <c r="N91" t="s">
        <v>157</v>
      </c>
      <c r="O91" s="10">
        <f>MEDIAN(O2:O89)</f>
        <v>1252</v>
      </c>
      <c r="P91" s="2">
        <f>MEDIAN(P2:P89)</f>
        <v>2295</v>
      </c>
    </row>
    <row r="92" spans="1:19" ht="45" x14ac:dyDescent="0.25">
      <c r="N92" t="s">
        <v>158</v>
      </c>
      <c r="O92" s="9">
        <f>MODE(O2:O89)</f>
        <v>1252</v>
      </c>
      <c r="P92">
        <f>MODE(P2:P89)</f>
        <v>2295</v>
      </c>
    </row>
    <row r="93" spans="1:19" ht="45" x14ac:dyDescent="0.25">
      <c r="N93" s="11" t="s">
        <v>159</v>
      </c>
      <c r="O93" s="9">
        <f>STDEV(O2:O89)</f>
        <v>428.25036073931585</v>
      </c>
      <c r="P93">
        <f>STDEV(P2:P89)</f>
        <v>776.03119214421599</v>
      </c>
      <c r="Q93">
        <f>STDEV(Q2:Q89)</f>
        <v>1399.6977088182489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A2BFF5-7901-4AE1-9EAC-C53400A8AC57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2.xml><?xml version="1.0" encoding="utf-8"?>
<ds:datastoreItem xmlns:ds="http://schemas.openxmlformats.org/officeDocument/2006/customXml" ds:itemID="{38B93B57-25C3-448B-BDF9-E62880BE52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449075-01A6-451D-9F66-A0FA0F4FD7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Umar Shahzad</cp:lastModifiedBy>
  <cp:revision/>
  <dcterms:created xsi:type="dcterms:W3CDTF">2022-11-04T20:14:11Z</dcterms:created>
  <dcterms:modified xsi:type="dcterms:W3CDTF">2025-11-13T18:19:27Z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2365400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