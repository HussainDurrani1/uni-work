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8794CCD6-8835-4F7E-9ABF-F8C0AA1BC6E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chart.v1.0" hidden="1">Sheet1!$A$16:$A$115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2" i="1" l="1"/>
  <c r="C223" i="1"/>
  <c r="C159" i="1"/>
  <c r="C7" i="1"/>
  <c r="C219" i="1"/>
  <c r="C218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152" i="1"/>
  <c r="C161" i="1" s="1"/>
  <c r="C158" i="1"/>
  <c r="B121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C9" i="1"/>
  <c r="C8" i="1"/>
  <c r="C15" i="1" l="1"/>
</calcChain>
</file>

<file path=xl/sharedStrings.xml><?xml version="1.0" encoding="utf-8"?>
<sst xmlns="http://schemas.openxmlformats.org/spreadsheetml/2006/main" count="28" uniqueCount="26">
  <si>
    <t>Task 1</t>
  </si>
  <si>
    <t>Question 1</t>
  </si>
  <si>
    <t>Mean:</t>
  </si>
  <si>
    <t>Standard Deviation:</t>
  </si>
  <si>
    <t xml:space="preserve">P(X &lt; 100) = </t>
  </si>
  <si>
    <t xml:space="preserve">P(110 &lt; X &lt; 130) = </t>
  </si>
  <si>
    <t>Find the 90th Percentile</t>
  </si>
  <si>
    <t>Question 2</t>
  </si>
  <si>
    <t>Student Score</t>
  </si>
  <si>
    <t>Number of students scoring above 85 marks:</t>
  </si>
  <si>
    <t>Question 3</t>
  </si>
  <si>
    <t>Download Speed (Mbps)</t>
  </si>
  <si>
    <t>Probability Density</t>
  </si>
  <si>
    <t>Task 2</t>
  </si>
  <si>
    <t>Sample Data</t>
  </si>
  <si>
    <t>Z - Score</t>
  </si>
  <si>
    <t>P Value</t>
  </si>
  <si>
    <t>Z Test:</t>
  </si>
  <si>
    <t>Weekly Coding Practice Hours        </t>
  </si>
  <si>
    <t>mu:</t>
  </si>
  <si>
    <t>s</t>
  </si>
  <si>
    <t>n</t>
  </si>
  <si>
    <t>Sample Mean</t>
  </si>
  <si>
    <t>Sample Std Dev</t>
  </si>
  <si>
    <t>T-statistic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</si>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</sst>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8"/>
      <color rgb="FF000000"/>
      <name val="Times New Roman"/>
    </font>
    <font>
      <b/>
      <sz val="12"/>
      <color rgb="FF000000"/>
      <name val="Times New Roman"/>
    </font>
    <font>
      <b/>
      <sz val="11"/>
      <color theme="1"/>
      <name val="Times New Roman"/>
    </font>
    <font>
      <sz val="11"/>
      <color theme="1"/>
      <name val="Times New Roman"/>
    </font>
    <font>
      <b/>
      <sz val="11"/>
      <color rgb="FF000000"/>
      <name val="Times New Roman"/>
    </font>
    <font>
      <b/>
      <sz val="11"/>
      <color rgb="FF000000"/>
      <name val="WordVisi_MSFontService"/>
      <charset val="1"/>
    </font>
    <font>
      <b/>
      <sz val="11"/>
      <color rgb="FF000000"/>
      <name val="Times New Roman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Probability density function (PDF)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Sheet1!$A$121:$A$141</c:f>
              <c:numCache>
                <c:formatCode>General</c:formatCode>
                <c:ptCount val="21"/>
                <c:pt idx="0">
                  <c:v>30</c:v>
                </c:pt>
                <c:pt idx="1">
                  <c:v>32</c:v>
                </c:pt>
                <c:pt idx="2">
                  <c:v>34</c:v>
                </c:pt>
                <c:pt idx="3">
                  <c:v>36</c:v>
                </c:pt>
                <c:pt idx="4">
                  <c:v>38</c:v>
                </c:pt>
                <c:pt idx="5">
                  <c:v>40</c:v>
                </c:pt>
                <c:pt idx="6">
                  <c:v>42</c:v>
                </c:pt>
                <c:pt idx="7">
                  <c:v>44</c:v>
                </c:pt>
                <c:pt idx="8">
                  <c:v>46</c:v>
                </c:pt>
                <c:pt idx="9">
                  <c:v>48</c:v>
                </c:pt>
                <c:pt idx="10">
                  <c:v>50</c:v>
                </c:pt>
                <c:pt idx="11">
                  <c:v>52</c:v>
                </c:pt>
                <c:pt idx="12">
                  <c:v>54</c:v>
                </c:pt>
                <c:pt idx="13">
                  <c:v>56</c:v>
                </c:pt>
                <c:pt idx="14">
                  <c:v>58</c:v>
                </c:pt>
                <c:pt idx="15">
                  <c:v>60</c:v>
                </c:pt>
                <c:pt idx="16">
                  <c:v>62</c:v>
                </c:pt>
                <c:pt idx="17">
                  <c:v>64</c:v>
                </c:pt>
                <c:pt idx="18">
                  <c:v>66</c:v>
                </c:pt>
                <c:pt idx="19">
                  <c:v>68</c:v>
                </c:pt>
                <c:pt idx="20">
                  <c:v>70</c:v>
                </c:pt>
              </c:numCache>
            </c:numRef>
          </c:xVal>
          <c:yVal>
            <c:numRef>
              <c:f>Sheet1!$B$121:$B$141</c:f>
              <c:numCache>
                <c:formatCode>General</c:formatCode>
                <c:ptCount val="21"/>
                <c:pt idx="0">
                  <c:v>2.6766045152977071E-5</c:v>
                </c:pt>
                <c:pt idx="1">
                  <c:v>1.2238038602275437E-4</c:v>
                </c:pt>
                <c:pt idx="2">
                  <c:v>4.768176402929681E-4</c:v>
                </c:pt>
                <c:pt idx="3">
                  <c:v>1.5830903165959939E-3</c:v>
                </c:pt>
                <c:pt idx="4">
                  <c:v>4.4789060589685804E-3</c:v>
                </c:pt>
                <c:pt idx="5">
                  <c:v>1.0798193302637612E-2</c:v>
                </c:pt>
                <c:pt idx="6">
                  <c:v>2.2184166935891109E-2</c:v>
                </c:pt>
                <c:pt idx="7">
                  <c:v>3.8837210996642592E-2</c:v>
                </c:pt>
                <c:pt idx="8">
                  <c:v>5.7938310552296549E-2</c:v>
                </c:pt>
                <c:pt idx="9">
                  <c:v>7.3654028060664664E-2</c:v>
                </c:pt>
                <c:pt idx="10">
                  <c:v>7.9788456080286549E-2</c:v>
                </c:pt>
                <c:pt idx="11">
                  <c:v>7.3654028060664664E-2</c:v>
                </c:pt>
                <c:pt idx="12">
                  <c:v>5.7938310552296549E-2</c:v>
                </c:pt>
                <c:pt idx="13">
                  <c:v>3.8837210996642592E-2</c:v>
                </c:pt>
                <c:pt idx="14">
                  <c:v>2.2184166935891109E-2</c:v>
                </c:pt>
                <c:pt idx="15">
                  <c:v>1.0798193302637612E-2</c:v>
                </c:pt>
                <c:pt idx="16">
                  <c:v>4.4789060589685804E-3</c:v>
                </c:pt>
                <c:pt idx="17">
                  <c:v>1.5830903165959939E-3</c:v>
                </c:pt>
                <c:pt idx="18">
                  <c:v>4.768176402929681E-4</c:v>
                </c:pt>
                <c:pt idx="19">
                  <c:v>1.2238038602275437E-4</c:v>
                </c:pt>
                <c:pt idx="20">
                  <c:v>2.6766045152977071E-5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AF-4B40-81D2-949DBDDDD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816840"/>
        <c:axId val="277818888"/>
      </c:scatterChart>
      <c:valAx>
        <c:axId val="277816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818888"/>
        <c:crosses val="autoZero"/>
        <c:crossBetween val="midCat"/>
      </c:valAx>
      <c:valAx>
        <c:axId val="277818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816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 Simulation and Data Analysis 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 Simulation and Data Analysis </a:t>
          </a:r>
        </a:p>
      </cx:txPr>
    </cx:title>
    <cx:plotArea>
      <cx:plotAreaRegion>
        <cx:series layoutId="clusteredColumn" uniqueId="{00000000-CED9-44EB-8C33-CE7B7421CAD6}">
          <cx:dataId val="0"/>
          <cx:layoutPr>
            <cx:binning intervalClosed="r">
              <cx:binSize val="7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847725</xdr:colOff>
      <xdr:row>17</xdr:row>
      <xdr:rowOff>114300</xdr:rowOff>
    </xdr:from>
    <xdr:to>
      <xdr:col>7</xdr:col>
      <xdr:colOff>257175</xdr:colOff>
      <xdr:row>32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E9AFB94-42B0-C6F2-235D-03D7B0F684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733425</xdr:colOff>
      <xdr:row>123</xdr:row>
      <xdr:rowOff>28575</xdr:rowOff>
    </xdr:from>
    <xdr:to>
      <xdr:col>7</xdr:col>
      <xdr:colOff>142875</xdr:colOff>
      <xdr:row>137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D9D0A7-F7D1-57C0-3039-94FF1011DD32}"/>
            </a:ext>
            <a:ext uri="{147F2762-F138-4A5C-976F-8EAC2B608ADB}">
              <a16:predDERef xmlns:a16="http://schemas.microsoft.com/office/drawing/2014/main" pred="{8E9AFB94-42B0-C6F2-235D-03D7B0F684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0"/>
  <sheetViews>
    <sheetView tabSelected="1" topLeftCell="A207" workbookViewId="0">
      <selection activeCell="C222" sqref="C222"/>
    </sheetView>
  </sheetViews>
  <sheetFormatPr defaultRowHeight="15"/>
  <cols>
    <col min="1" max="1" width="22.42578125" style="5" customWidth="1"/>
    <col min="2" max="2" width="32.42578125" style="5" customWidth="1"/>
    <col min="3" max="3" width="36.85546875" customWidth="1"/>
    <col min="6" max="6" width="13.140625" customWidth="1"/>
  </cols>
  <sheetData>
    <row r="1" spans="1:6" ht="22.5">
      <c r="F1" s="1" t="s">
        <v>0</v>
      </c>
    </row>
    <row r="3" spans="1:6" ht="15.75">
      <c r="A3" s="2" t="s">
        <v>1</v>
      </c>
    </row>
    <row r="5" spans="1:6">
      <c r="A5" s="3" t="s">
        <v>2</v>
      </c>
      <c r="B5" s="4">
        <v>120</v>
      </c>
      <c r="C5" s="4"/>
    </row>
    <row r="6" spans="1:6">
      <c r="A6" s="3" t="s">
        <v>3</v>
      </c>
      <c r="B6" s="4">
        <v>15</v>
      </c>
      <c r="C6" s="4"/>
    </row>
    <row r="7" spans="1:6">
      <c r="A7" s="4"/>
      <c r="B7" s="3" t="s">
        <v>4</v>
      </c>
      <c r="C7" s="4">
        <f>_xlfn.NORM.DIST(100, 120, 15, TRUE)</f>
        <v>9.1211219725867876E-2</v>
      </c>
    </row>
    <row r="8" spans="1:6">
      <c r="A8" s="4"/>
      <c r="B8" s="3" t="s">
        <v>5</v>
      </c>
      <c r="C8" s="4">
        <f>_xlfn.NORM.DIST(130, 120, 15, TRUE) - _xlfn.NORM.DIST(110, 120, 15, TRUE)</f>
        <v>0.49501492490615417</v>
      </c>
    </row>
    <row r="9" spans="1:6">
      <c r="A9" s="4"/>
      <c r="B9" s="3" t="s">
        <v>6</v>
      </c>
      <c r="C9" s="4">
        <f>_xlfn.NORM.INV(0.9, 120, 15)</f>
        <v>139.22327348316901</v>
      </c>
    </row>
    <row r="13" spans="1:6" ht="15.75">
      <c r="A13" s="2" t="s">
        <v>7</v>
      </c>
    </row>
    <row r="15" spans="1:6" ht="28.5">
      <c r="A15" s="3" t="s">
        <v>8</v>
      </c>
      <c r="B15" s="8" t="s">
        <v>9</v>
      </c>
      <c r="C15" s="5">
        <f ca="1">COUNTIF(A16:A115, "&gt;85")</f>
        <v>14</v>
      </c>
      <c r="D15" s="5"/>
    </row>
    <row r="16" spans="1:6">
      <c r="A16" s="5">
        <f ca="1">_xlfn.NORM.INV(RAND(), 75, 10)</f>
        <v>62.681456425001556</v>
      </c>
    </row>
    <row r="17" spans="1:3">
      <c r="A17" s="5">
        <f t="shared" ref="A17:A80" ca="1" si="0">_xlfn.NORM.INV(RAND(), 75, 10)</f>
        <v>79.703145775933478</v>
      </c>
    </row>
    <row r="18" spans="1:3">
      <c r="A18" s="5">
        <f t="shared" ca="1" si="0"/>
        <v>91.140192541895345</v>
      </c>
    </row>
    <row r="19" spans="1:3">
      <c r="A19" s="5">
        <f t="shared" ca="1" si="0"/>
        <v>60.488846557612938</v>
      </c>
      <c r="C19" s="6"/>
    </row>
    <row r="20" spans="1:3">
      <c r="A20" s="5">
        <f t="shared" ca="1" si="0"/>
        <v>77.596992926851627</v>
      </c>
    </row>
    <row r="21" spans="1:3">
      <c r="A21" s="5">
        <f t="shared" ca="1" si="0"/>
        <v>67.832576722289573</v>
      </c>
    </row>
    <row r="22" spans="1:3">
      <c r="A22" s="5">
        <f t="shared" ca="1" si="0"/>
        <v>69.184292110480769</v>
      </c>
    </row>
    <row r="23" spans="1:3">
      <c r="A23" s="5">
        <f t="shared" ca="1" si="0"/>
        <v>59.446778374029208</v>
      </c>
    </row>
    <row r="24" spans="1:3">
      <c r="A24" s="5">
        <f t="shared" ca="1" si="0"/>
        <v>58.174168597699676</v>
      </c>
    </row>
    <row r="25" spans="1:3">
      <c r="A25" s="5">
        <f t="shared" ca="1" si="0"/>
        <v>78.804919987341464</v>
      </c>
    </row>
    <row r="26" spans="1:3">
      <c r="A26" s="5">
        <f t="shared" ca="1" si="0"/>
        <v>53.343304796359597</v>
      </c>
    </row>
    <row r="27" spans="1:3">
      <c r="A27" s="5">
        <f t="shared" ca="1" si="0"/>
        <v>88.056785485565541</v>
      </c>
    </row>
    <row r="28" spans="1:3">
      <c r="A28" s="5">
        <f t="shared" ca="1" si="0"/>
        <v>73.070221863105473</v>
      </c>
    </row>
    <row r="29" spans="1:3">
      <c r="A29" s="5">
        <f t="shared" ca="1" si="0"/>
        <v>72.508409951765827</v>
      </c>
    </row>
    <row r="30" spans="1:3">
      <c r="A30" s="5">
        <f t="shared" ca="1" si="0"/>
        <v>63.339088710558933</v>
      </c>
    </row>
    <row r="31" spans="1:3">
      <c r="A31" s="5">
        <f t="shared" ca="1" si="0"/>
        <v>78.791457205053092</v>
      </c>
    </row>
    <row r="32" spans="1:3">
      <c r="A32" s="5">
        <f t="shared" ca="1" si="0"/>
        <v>62.037873530307202</v>
      </c>
    </row>
    <row r="33" spans="1:1">
      <c r="A33" s="5">
        <f t="shared" ca="1" si="0"/>
        <v>82.336946760492097</v>
      </c>
    </row>
    <row r="34" spans="1:1">
      <c r="A34" s="5">
        <f t="shared" ca="1" si="0"/>
        <v>76.104041944170604</v>
      </c>
    </row>
    <row r="35" spans="1:1">
      <c r="A35" s="5">
        <f t="shared" ca="1" si="0"/>
        <v>75.768969933337146</v>
      </c>
    </row>
    <row r="36" spans="1:1">
      <c r="A36" s="5">
        <f t="shared" ca="1" si="0"/>
        <v>76.617869473547429</v>
      </c>
    </row>
    <row r="37" spans="1:1">
      <c r="A37" s="5">
        <f t="shared" ca="1" si="0"/>
        <v>75.867600877852894</v>
      </c>
    </row>
    <row r="38" spans="1:1">
      <c r="A38" s="5">
        <f t="shared" ca="1" si="0"/>
        <v>83.901950938369282</v>
      </c>
    </row>
    <row r="39" spans="1:1">
      <c r="A39" s="5">
        <f t="shared" ca="1" si="0"/>
        <v>73.193424385699259</v>
      </c>
    </row>
    <row r="40" spans="1:1">
      <c r="A40" s="5">
        <f t="shared" ca="1" si="0"/>
        <v>86.377415147358988</v>
      </c>
    </row>
    <row r="41" spans="1:1">
      <c r="A41" s="5">
        <f t="shared" ca="1" si="0"/>
        <v>95.99165183852557</v>
      </c>
    </row>
    <row r="42" spans="1:1">
      <c r="A42" s="5">
        <f t="shared" ca="1" si="0"/>
        <v>94.599820310519831</v>
      </c>
    </row>
    <row r="43" spans="1:1">
      <c r="A43" s="5">
        <f t="shared" ca="1" si="0"/>
        <v>85.010422368218954</v>
      </c>
    </row>
    <row r="44" spans="1:1">
      <c r="A44" s="5">
        <f t="shared" ca="1" si="0"/>
        <v>61.206711303864722</v>
      </c>
    </row>
    <row r="45" spans="1:1">
      <c r="A45" s="5">
        <f t="shared" ca="1" si="0"/>
        <v>75.316760969790835</v>
      </c>
    </row>
    <row r="46" spans="1:1">
      <c r="A46" s="5">
        <f t="shared" ca="1" si="0"/>
        <v>87.431969557162844</v>
      </c>
    </row>
    <row r="47" spans="1:1">
      <c r="A47" s="5">
        <f t="shared" ca="1" si="0"/>
        <v>63.884383988734754</v>
      </c>
    </row>
    <row r="48" spans="1:1">
      <c r="A48" s="5">
        <f t="shared" ca="1" si="0"/>
        <v>81.106795655109423</v>
      </c>
    </row>
    <row r="49" spans="1:1">
      <c r="A49" s="5">
        <f t="shared" ca="1" si="0"/>
        <v>60.385345774253352</v>
      </c>
    </row>
    <row r="50" spans="1:1">
      <c r="A50" s="5">
        <f t="shared" ca="1" si="0"/>
        <v>71.038098678475833</v>
      </c>
    </row>
    <row r="51" spans="1:1">
      <c r="A51" s="5">
        <f t="shared" ca="1" si="0"/>
        <v>64.969886884288698</v>
      </c>
    </row>
    <row r="52" spans="1:1">
      <c r="A52" s="5">
        <f t="shared" ca="1" si="0"/>
        <v>105.40607351804256</v>
      </c>
    </row>
    <row r="53" spans="1:1">
      <c r="A53" s="5">
        <f t="shared" ca="1" si="0"/>
        <v>72.432634658815431</v>
      </c>
    </row>
    <row r="54" spans="1:1">
      <c r="A54" s="5">
        <f t="shared" ca="1" si="0"/>
        <v>93.230864550732235</v>
      </c>
    </row>
    <row r="55" spans="1:1">
      <c r="A55" s="5">
        <f t="shared" ca="1" si="0"/>
        <v>78.113395661214639</v>
      </c>
    </row>
    <row r="56" spans="1:1">
      <c r="A56" s="5">
        <f t="shared" ca="1" si="0"/>
        <v>75.865650972865325</v>
      </c>
    </row>
    <row r="57" spans="1:1">
      <c r="A57" s="5">
        <f t="shared" ca="1" si="0"/>
        <v>69.821904231822415</v>
      </c>
    </row>
    <row r="58" spans="1:1">
      <c r="A58" s="5">
        <f t="shared" ca="1" si="0"/>
        <v>73.924401742801066</v>
      </c>
    </row>
    <row r="59" spans="1:1">
      <c r="A59" s="5">
        <f t="shared" ca="1" si="0"/>
        <v>71.459950316518515</v>
      </c>
    </row>
    <row r="60" spans="1:1">
      <c r="A60" s="5">
        <f t="shared" ca="1" si="0"/>
        <v>65.534970966094974</v>
      </c>
    </row>
    <row r="61" spans="1:1">
      <c r="A61" s="5">
        <f t="shared" ca="1" si="0"/>
        <v>75.55599714040612</v>
      </c>
    </row>
    <row r="62" spans="1:1">
      <c r="A62" s="5">
        <f t="shared" ca="1" si="0"/>
        <v>88.996639410872589</v>
      </c>
    </row>
    <row r="63" spans="1:1">
      <c r="A63" s="5">
        <f t="shared" ca="1" si="0"/>
        <v>89.664019163764564</v>
      </c>
    </row>
    <row r="64" spans="1:1">
      <c r="A64" s="5">
        <f t="shared" ca="1" si="0"/>
        <v>75.497696761715659</v>
      </c>
    </row>
    <row r="65" spans="1:1">
      <c r="A65" s="5">
        <f t="shared" ca="1" si="0"/>
        <v>55.131805495420785</v>
      </c>
    </row>
    <row r="66" spans="1:1">
      <c r="A66" s="5">
        <f t="shared" ca="1" si="0"/>
        <v>65.872059491837533</v>
      </c>
    </row>
    <row r="67" spans="1:1">
      <c r="A67" s="5">
        <f t="shared" ca="1" si="0"/>
        <v>70.207609458338254</v>
      </c>
    </row>
    <row r="68" spans="1:1">
      <c r="A68" s="5">
        <f t="shared" ca="1" si="0"/>
        <v>76.740623174591803</v>
      </c>
    </row>
    <row r="69" spans="1:1">
      <c r="A69" s="5">
        <f t="shared" ca="1" si="0"/>
        <v>71.777284526445371</v>
      </c>
    </row>
    <row r="70" spans="1:1">
      <c r="A70" s="5">
        <f t="shared" ca="1" si="0"/>
        <v>63.779018317923516</v>
      </c>
    </row>
    <row r="71" spans="1:1">
      <c r="A71" s="5">
        <f t="shared" ca="1" si="0"/>
        <v>75.496531275626452</v>
      </c>
    </row>
    <row r="72" spans="1:1">
      <c r="A72" s="5">
        <f t="shared" ca="1" si="0"/>
        <v>99.137011963285275</v>
      </c>
    </row>
    <row r="73" spans="1:1">
      <c r="A73" s="5">
        <f t="shared" ca="1" si="0"/>
        <v>61.486144580307098</v>
      </c>
    </row>
    <row r="74" spans="1:1">
      <c r="A74" s="5">
        <f t="shared" ca="1" si="0"/>
        <v>74.597071942065014</v>
      </c>
    </row>
    <row r="75" spans="1:1">
      <c r="A75" s="5">
        <f t="shared" ca="1" si="0"/>
        <v>65.562380235157377</v>
      </c>
    </row>
    <row r="76" spans="1:1">
      <c r="A76" s="5">
        <f t="shared" ca="1" si="0"/>
        <v>65.653779396308693</v>
      </c>
    </row>
    <row r="77" spans="1:1">
      <c r="A77" s="5">
        <f t="shared" ca="1" si="0"/>
        <v>86.118117689814056</v>
      </c>
    </row>
    <row r="78" spans="1:1">
      <c r="A78" s="5">
        <f t="shared" ca="1" si="0"/>
        <v>81.914963950554252</v>
      </c>
    </row>
    <row r="79" spans="1:1">
      <c r="A79" s="5">
        <f t="shared" ca="1" si="0"/>
        <v>70.774061633247868</v>
      </c>
    </row>
    <row r="80" spans="1:1">
      <c r="A80" s="5">
        <f t="shared" ca="1" si="0"/>
        <v>75.331369843001767</v>
      </c>
    </row>
    <row r="81" spans="1:1">
      <c r="A81" s="5">
        <f t="shared" ref="A81:A115" ca="1" si="1">_xlfn.NORM.INV(RAND(), 75, 10)</f>
        <v>79.304585682709813</v>
      </c>
    </row>
    <row r="82" spans="1:1">
      <c r="A82" s="5">
        <f t="shared" ca="1" si="1"/>
        <v>80.306680795574025</v>
      </c>
    </row>
    <row r="83" spans="1:1">
      <c r="A83" s="5">
        <f t="shared" ca="1" si="1"/>
        <v>94.754094859074655</v>
      </c>
    </row>
    <row r="84" spans="1:1">
      <c r="A84" s="5">
        <f t="shared" ca="1" si="1"/>
        <v>70.32736709841835</v>
      </c>
    </row>
    <row r="85" spans="1:1">
      <c r="A85" s="5">
        <f t="shared" ca="1" si="1"/>
        <v>72.225947756326832</v>
      </c>
    </row>
    <row r="86" spans="1:1">
      <c r="A86" s="5">
        <f t="shared" ca="1" si="1"/>
        <v>57.321860479098184</v>
      </c>
    </row>
    <row r="87" spans="1:1">
      <c r="A87" s="5">
        <f t="shared" ca="1" si="1"/>
        <v>83.753017159195693</v>
      </c>
    </row>
    <row r="88" spans="1:1">
      <c r="A88" s="5">
        <f t="shared" ca="1" si="1"/>
        <v>66.822612525504482</v>
      </c>
    </row>
    <row r="89" spans="1:1">
      <c r="A89" s="5">
        <f t="shared" ca="1" si="1"/>
        <v>67.242618697738919</v>
      </c>
    </row>
    <row r="90" spans="1:1">
      <c r="A90" s="5">
        <f t="shared" ca="1" si="1"/>
        <v>73.844973738126029</v>
      </c>
    </row>
    <row r="91" spans="1:1">
      <c r="A91" s="5">
        <f t="shared" ca="1" si="1"/>
        <v>73.829799103921673</v>
      </c>
    </row>
    <row r="92" spans="1:1">
      <c r="A92" s="5">
        <f t="shared" ca="1" si="1"/>
        <v>83.992512191095599</v>
      </c>
    </row>
    <row r="93" spans="1:1">
      <c r="A93" s="5">
        <f t="shared" ca="1" si="1"/>
        <v>81.200506673859678</v>
      </c>
    </row>
    <row r="94" spans="1:1">
      <c r="A94" s="5">
        <f t="shared" ca="1" si="1"/>
        <v>67.504088882115866</v>
      </c>
    </row>
    <row r="95" spans="1:1">
      <c r="A95" s="5">
        <f t="shared" ca="1" si="1"/>
        <v>82.911297404750513</v>
      </c>
    </row>
    <row r="96" spans="1:1">
      <c r="A96" s="5">
        <f t="shared" ca="1" si="1"/>
        <v>67.792736303337321</v>
      </c>
    </row>
    <row r="97" spans="1:1">
      <c r="A97" s="5">
        <f t="shared" ca="1" si="1"/>
        <v>83.220027862072072</v>
      </c>
    </row>
    <row r="98" spans="1:1">
      <c r="A98" s="5">
        <f t="shared" ca="1" si="1"/>
        <v>73.08208665222125</v>
      </c>
    </row>
    <row r="99" spans="1:1">
      <c r="A99" s="5">
        <f t="shared" ca="1" si="1"/>
        <v>80.40748905779904</v>
      </c>
    </row>
    <row r="100" spans="1:1">
      <c r="A100" s="5">
        <f t="shared" ca="1" si="1"/>
        <v>59.279098147639857</v>
      </c>
    </row>
    <row r="101" spans="1:1">
      <c r="A101" s="5">
        <f t="shared" ca="1" si="1"/>
        <v>68.313477159925881</v>
      </c>
    </row>
    <row r="102" spans="1:1">
      <c r="A102" s="5">
        <f t="shared" ca="1" si="1"/>
        <v>68.036254487802722</v>
      </c>
    </row>
    <row r="103" spans="1:1">
      <c r="A103" s="5">
        <f t="shared" ca="1" si="1"/>
        <v>78.541567815165834</v>
      </c>
    </row>
    <row r="104" spans="1:1">
      <c r="A104" s="5">
        <f t="shared" ca="1" si="1"/>
        <v>65.806653106334522</v>
      </c>
    </row>
    <row r="105" spans="1:1">
      <c r="A105" s="5">
        <f t="shared" ca="1" si="1"/>
        <v>75.887066759202412</v>
      </c>
    </row>
    <row r="106" spans="1:1">
      <c r="A106" s="5">
        <f t="shared" ca="1" si="1"/>
        <v>78.297346708875367</v>
      </c>
    </row>
    <row r="107" spans="1:1">
      <c r="A107" s="5">
        <f t="shared" ca="1" si="1"/>
        <v>73.540683708543952</v>
      </c>
    </row>
    <row r="108" spans="1:1">
      <c r="A108" s="5">
        <f t="shared" ca="1" si="1"/>
        <v>64.564912462186342</v>
      </c>
    </row>
    <row r="109" spans="1:1">
      <c r="A109" s="5">
        <f t="shared" ca="1" si="1"/>
        <v>73.328046976992951</v>
      </c>
    </row>
    <row r="110" spans="1:1">
      <c r="A110" s="5">
        <f t="shared" ca="1" si="1"/>
        <v>84.000644795574544</v>
      </c>
    </row>
    <row r="111" spans="1:1">
      <c r="A111" s="5">
        <f t="shared" ca="1" si="1"/>
        <v>84.329574921274826</v>
      </c>
    </row>
    <row r="112" spans="1:1">
      <c r="A112" s="5">
        <f t="shared" ca="1" si="1"/>
        <v>83.401972977384759</v>
      </c>
    </row>
    <row r="113" spans="1:2">
      <c r="A113" s="5">
        <f t="shared" ca="1" si="1"/>
        <v>79.499094999396249</v>
      </c>
    </row>
    <row r="114" spans="1:2">
      <c r="A114" s="5">
        <f t="shared" ca="1" si="1"/>
        <v>61.13940976278311</v>
      </c>
    </row>
    <row r="115" spans="1:2">
      <c r="A115" s="5">
        <f t="shared" ca="1" si="1"/>
        <v>75.808284848493372</v>
      </c>
    </row>
    <row r="118" spans="1:2" ht="15.75">
      <c r="A118" s="2" t="s">
        <v>10</v>
      </c>
    </row>
    <row r="120" spans="1:2" ht="28.5">
      <c r="A120" s="9" t="s">
        <v>11</v>
      </c>
      <c r="B120" s="9" t="s">
        <v>12</v>
      </c>
    </row>
    <row r="121" spans="1:2">
      <c r="A121" s="5">
        <v>30</v>
      </c>
      <c r="B121" s="5">
        <f>_xlfn.NORM.DIST(A121, 50, 5, FALSE)</f>
        <v>2.6766045152977071E-5</v>
      </c>
    </row>
    <row r="122" spans="1:2">
      <c r="A122" s="5">
        <v>32</v>
      </c>
      <c r="B122" s="5">
        <f t="shared" ref="B122:B141" si="2">_xlfn.NORM.DIST(A122, 50, 5, FALSE)</f>
        <v>1.2238038602275437E-4</v>
      </c>
    </row>
    <row r="123" spans="1:2">
      <c r="A123" s="5">
        <v>34</v>
      </c>
      <c r="B123" s="5">
        <f t="shared" si="2"/>
        <v>4.768176402929681E-4</v>
      </c>
    </row>
    <row r="124" spans="1:2">
      <c r="A124" s="5">
        <v>36</v>
      </c>
      <c r="B124" s="5">
        <f t="shared" si="2"/>
        <v>1.5830903165959939E-3</v>
      </c>
    </row>
    <row r="125" spans="1:2">
      <c r="A125" s="5">
        <v>38</v>
      </c>
      <c r="B125" s="5">
        <f t="shared" si="2"/>
        <v>4.4789060589685804E-3</v>
      </c>
    </row>
    <row r="126" spans="1:2">
      <c r="A126" s="5">
        <v>40</v>
      </c>
      <c r="B126" s="5">
        <f t="shared" si="2"/>
        <v>1.0798193302637612E-2</v>
      </c>
    </row>
    <row r="127" spans="1:2">
      <c r="A127" s="5">
        <v>42</v>
      </c>
      <c r="B127" s="5">
        <f t="shared" si="2"/>
        <v>2.2184166935891109E-2</v>
      </c>
    </row>
    <row r="128" spans="1:2">
      <c r="A128" s="5">
        <v>44</v>
      </c>
      <c r="B128" s="5">
        <f t="shared" si="2"/>
        <v>3.8837210996642592E-2</v>
      </c>
    </row>
    <row r="129" spans="1:2">
      <c r="A129" s="5">
        <v>46</v>
      </c>
      <c r="B129" s="5">
        <f t="shared" si="2"/>
        <v>5.7938310552296549E-2</v>
      </c>
    </row>
    <row r="130" spans="1:2">
      <c r="A130" s="5">
        <v>48</v>
      </c>
      <c r="B130" s="5">
        <f t="shared" si="2"/>
        <v>7.3654028060664664E-2</v>
      </c>
    </row>
    <row r="131" spans="1:2">
      <c r="A131" s="5">
        <v>50</v>
      </c>
      <c r="B131" s="5">
        <f t="shared" si="2"/>
        <v>7.9788456080286549E-2</v>
      </c>
    </row>
    <row r="132" spans="1:2">
      <c r="A132" s="5">
        <v>52</v>
      </c>
      <c r="B132" s="5">
        <f t="shared" si="2"/>
        <v>7.3654028060664664E-2</v>
      </c>
    </row>
    <row r="133" spans="1:2">
      <c r="A133" s="5">
        <v>54</v>
      </c>
      <c r="B133" s="5">
        <f t="shared" si="2"/>
        <v>5.7938310552296549E-2</v>
      </c>
    </row>
    <row r="134" spans="1:2">
      <c r="A134" s="5">
        <v>56</v>
      </c>
      <c r="B134" s="5">
        <f t="shared" si="2"/>
        <v>3.8837210996642592E-2</v>
      </c>
    </row>
    <row r="135" spans="1:2">
      <c r="A135" s="5">
        <v>58</v>
      </c>
      <c r="B135" s="5">
        <f t="shared" si="2"/>
        <v>2.2184166935891109E-2</v>
      </c>
    </row>
    <row r="136" spans="1:2">
      <c r="A136" s="5">
        <v>60</v>
      </c>
      <c r="B136" s="5">
        <f t="shared" si="2"/>
        <v>1.0798193302637612E-2</v>
      </c>
    </row>
    <row r="137" spans="1:2">
      <c r="A137" s="5">
        <v>62</v>
      </c>
      <c r="B137" s="5">
        <f t="shared" si="2"/>
        <v>4.4789060589685804E-3</v>
      </c>
    </row>
    <row r="138" spans="1:2">
      <c r="A138" s="5">
        <v>64</v>
      </c>
      <c r="B138" s="5">
        <f t="shared" si="2"/>
        <v>1.5830903165959939E-3</v>
      </c>
    </row>
    <row r="139" spans="1:2">
      <c r="A139" s="5">
        <v>66</v>
      </c>
      <c r="B139" s="5">
        <f t="shared" si="2"/>
        <v>4.768176402929681E-4</v>
      </c>
    </row>
    <row r="140" spans="1:2">
      <c r="A140" s="5">
        <v>68</v>
      </c>
      <c r="B140" s="5">
        <f t="shared" si="2"/>
        <v>1.2238038602275437E-4</v>
      </c>
    </row>
    <row r="141" spans="1:2">
      <c r="A141" s="5">
        <v>70</v>
      </c>
      <c r="B141" s="5">
        <f t="shared" si="2"/>
        <v>2.6766045152977071E-5</v>
      </c>
    </row>
    <row r="148" spans="1:6" ht="22.5">
      <c r="F148" s="1" t="s">
        <v>13</v>
      </c>
    </row>
    <row r="151" spans="1:6">
      <c r="A151" s="3" t="s">
        <v>14</v>
      </c>
    </row>
    <row r="152" spans="1:6">
      <c r="A152" s="5">
        <f ca="1">_xlfn.NORM.INV(RAND(), 2.35, 0.4)</f>
        <v>2.7620001620835941</v>
      </c>
    </row>
    <row r="153" spans="1:6">
      <c r="A153" s="5">
        <f t="shared" ref="A153:A202" ca="1" si="3">_xlfn.NORM.INV(RAND(), 2.35, 0.4)</f>
        <v>2.5242041942345215</v>
      </c>
    </row>
    <row r="154" spans="1:6">
      <c r="A154" s="5">
        <f t="shared" ca="1" si="3"/>
        <v>2.163857380342781</v>
      </c>
    </row>
    <row r="155" spans="1:6">
      <c r="A155" s="5">
        <f t="shared" ca="1" si="3"/>
        <v>2.9527647004147952</v>
      </c>
    </row>
    <row r="156" spans="1:6">
      <c r="A156" s="5">
        <f t="shared" ca="1" si="3"/>
        <v>2.6638220078796087</v>
      </c>
    </row>
    <row r="157" spans="1:6">
      <c r="A157" s="5">
        <f t="shared" ca="1" si="3"/>
        <v>2.8793180420443725</v>
      </c>
    </row>
    <row r="158" spans="1:6">
      <c r="A158" s="5">
        <f t="shared" ca="1" si="3"/>
        <v>1.9201294679469094</v>
      </c>
      <c r="B158" s="7" t="s">
        <v>15</v>
      </c>
      <c r="C158" s="5">
        <f>(2.35 - 2.5) / (0.4 / SQRT(50))</f>
        <v>-2.6516504294495515</v>
      </c>
    </row>
    <row r="159" spans="1:6">
      <c r="A159" s="5">
        <f t="shared" ca="1" si="3"/>
        <v>1.8068039472196649</v>
      </c>
      <c r="B159" s="7" t="s">
        <v>16</v>
      </c>
      <c r="C159" s="5">
        <f>_xlfn.NORM.S.DIST(-2.65, TRUE)</f>
        <v>4.0245885427583044E-3</v>
      </c>
    </row>
    <row r="160" spans="1:6">
      <c r="A160" s="5">
        <f t="shared" ca="1" si="3"/>
        <v>2.8529756693140595</v>
      </c>
      <c r="C160" s="5"/>
    </row>
    <row r="161" spans="1:3">
      <c r="A161" s="5">
        <f t="shared" ca="1" si="3"/>
        <v>2.1958206525474382</v>
      </c>
      <c r="B161" s="10" t="s">
        <v>17</v>
      </c>
      <c r="C161" s="5">
        <f ca="1">1 - _xlfn.Z.TEST(A152:A202, 2.5, 0.4)</f>
        <v>0.47588964518743171</v>
      </c>
    </row>
    <row r="162" spans="1:3">
      <c r="A162" s="5">
        <f t="shared" ca="1" si="3"/>
        <v>1.9014188283892373</v>
      </c>
    </row>
    <row r="163" spans="1:3">
      <c r="A163" s="5">
        <f t="shared" ca="1" si="3"/>
        <v>2.7048358391374503</v>
      </c>
    </row>
    <row r="164" spans="1:3">
      <c r="A164" s="5">
        <f t="shared" ca="1" si="3"/>
        <v>2.7445771789736595</v>
      </c>
    </row>
    <row r="165" spans="1:3">
      <c r="A165" s="5">
        <f t="shared" ca="1" si="3"/>
        <v>2.4251487277350332</v>
      </c>
    </row>
    <row r="166" spans="1:3">
      <c r="A166" s="5">
        <f t="shared" ca="1" si="3"/>
        <v>2.126033737905785</v>
      </c>
    </row>
    <row r="167" spans="1:3">
      <c r="A167" s="5">
        <f t="shared" ca="1" si="3"/>
        <v>2.3793054386725556</v>
      </c>
    </row>
    <row r="168" spans="1:3">
      <c r="A168" s="5">
        <f t="shared" ca="1" si="3"/>
        <v>3.1099334383921944</v>
      </c>
    </row>
    <row r="169" spans="1:3">
      <c r="A169" s="5">
        <f t="shared" ca="1" si="3"/>
        <v>2.4058269601763862</v>
      </c>
    </row>
    <row r="170" spans="1:3">
      <c r="A170" s="5">
        <f t="shared" ca="1" si="3"/>
        <v>2.1290506900158377</v>
      </c>
    </row>
    <row r="171" spans="1:3">
      <c r="A171" s="5">
        <f t="shared" ca="1" si="3"/>
        <v>2.1067084800257545</v>
      </c>
    </row>
    <row r="172" spans="1:3">
      <c r="A172" s="5">
        <f t="shared" ca="1" si="3"/>
        <v>3.063483527991842</v>
      </c>
    </row>
    <row r="173" spans="1:3">
      <c r="A173" s="5">
        <f t="shared" ca="1" si="3"/>
        <v>2.0820879945970781</v>
      </c>
    </row>
    <row r="174" spans="1:3">
      <c r="A174" s="5">
        <f t="shared" ca="1" si="3"/>
        <v>2.0603555516229659</v>
      </c>
    </row>
    <row r="175" spans="1:3">
      <c r="A175" s="5">
        <f t="shared" ca="1" si="3"/>
        <v>1.7699992363790196</v>
      </c>
    </row>
    <row r="176" spans="1:3">
      <c r="A176" s="5">
        <f t="shared" ca="1" si="3"/>
        <v>3.0021938837050741</v>
      </c>
    </row>
    <row r="177" spans="1:1">
      <c r="A177" s="5">
        <f t="shared" ca="1" si="3"/>
        <v>2.6936922165845636</v>
      </c>
    </row>
    <row r="178" spans="1:1">
      <c r="A178" s="5">
        <f t="shared" ca="1" si="3"/>
        <v>2.4180393962029534</v>
      </c>
    </row>
    <row r="179" spans="1:1">
      <c r="A179" s="5">
        <f t="shared" ca="1" si="3"/>
        <v>2.6127630218528513</v>
      </c>
    </row>
    <row r="180" spans="1:1">
      <c r="A180" s="5">
        <f t="shared" ca="1" si="3"/>
        <v>2.3168343858828719</v>
      </c>
    </row>
    <row r="181" spans="1:1">
      <c r="A181" s="5">
        <f t="shared" ca="1" si="3"/>
        <v>2.8799917456213966</v>
      </c>
    </row>
    <row r="182" spans="1:1">
      <c r="A182" s="5">
        <f t="shared" ca="1" si="3"/>
        <v>2.6202489803684443</v>
      </c>
    </row>
    <row r="183" spans="1:1">
      <c r="A183" s="5">
        <f t="shared" ca="1" si="3"/>
        <v>2.329077153092932</v>
      </c>
    </row>
    <row r="184" spans="1:1">
      <c r="A184" s="5">
        <f t="shared" ca="1" si="3"/>
        <v>2.0381708410898334</v>
      </c>
    </row>
    <row r="185" spans="1:1">
      <c r="A185" s="5">
        <f t="shared" ca="1" si="3"/>
        <v>2.8533525668163091</v>
      </c>
    </row>
    <row r="186" spans="1:1">
      <c r="A186" s="5">
        <f t="shared" ca="1" si="3"/>
        <v>2.922475632411655</v>
      </c>
    </row>
    <row r="187" spans="1:1">
      <c r="A187" s="5">
        <f t="shared" ca="1" si="3"/>
        <v>2.2297019190065415</v>
      </c>
    </row>
    <row r="188" spans="1:1">
      <c r="A188" s="5">
        <f t="shared" ca="1" si="3"/>
        <v>2.8294811164838816</v>
      </c>
    </row>
    <row r="189" spans="1:1">
      <c r="A189" s="5">
        <f t="shared" ca="1" si="3"/>
        <v>2.4945087721670314</v>
      </c>
    </row>
    <row r="190" spans="1:1">
      <c r="A190" s="5">
        <f t="shared" ca="1" si="3"/>
        <v>1.721698682079738</v>
      </c>
    </row>
    <row r="191" spans="1:1">
      <c r="A191" s="5">
        <f t="shared" ca="1" si="3"/>
        <v>2.1360367339994921</v>
      </c>
    </row>
    <row r="192" spans="1:1">
      <c r="A192" s="5">
        <f t="shared" ca="1" si="3"/>
        <v>3.6457452174956986</v>
      </c>
    </row>
    <row r="193" spans="1:3">
      <c r="A193" s="5">
        <f t="shared" ca="1" si="3"/>
        <v>2.8911670725349969</v>
      </c>
    </row>
    <row r="194" spans="1:3">
      <c r="A194" s="5">
        <f t="shared" ca="1" si="3"/>
        <v>2.8090201962238432</v>
      </c>
    </row>
    <row r="195" spans="1:3">
      <c r="A195" s="5">
        <f t="shared" ca="1" si="3"/>
        <v>2.413358795773962</v>
      </c>
    </row>
    <row r="196" spans="1:3">
      <c r="A196" s="5">
        <f t="shared" ca="1" si="3"/>
        <v>2.7592736864354479</v>
      </c>
    </row>
    <row r="197" spans="1:3">
      <c r="A197" s="5">
        <f t="shared" ca="1" si="3"/>
        <v>2.9701521879686941</v>
      </c>
    </row>
    <row r="198" spans="1:3">
      <c r="A198" s="5">
        <f t="shared" ca="1" si="3"/>
        <v>2.4137744891746635</v>
      </c>
    </row>
    <row r="199" spans="1:3">
      <c r="A199" s="5">
        <f t="shared" ca="1" si="3"/>
        <v>1.6625438827612515</v>
      </c>
    </row>
    <row r="200" spans="1:3">
      <c r="A200" s="5">
        <f t="shared" ca="1" si="3"/>
        <v>2.6496666690352737</v>
      </c>
    </row>
    <row r="201" spans="1:3">
      <c r="A201" s="5">
        <f t="shared" ca="1" si="3"/>
        <v>2.7798294392499026</v>
      </c>
    </row>
    <row r="202" spans="1:3">
      <c r="A202" s="5">
        <f t="shared" ca="1" si="3"/>
        <v>2.5039953521184102</v>
      </c>
    </row>
    <row r="208" spans="1:3" ht="16.5">
      <c r="A208" s="3"/>
      <c r="C208" s="11" t="s">
        <v>18</v>
      </c>
    </row>
    <row r="209" spans="1:6">
      <c r="A209" s="3" t="s">
        <v>2</v>
      </c>
      <c r="B209" s="5">
        <v>5.2</v>
      </c>
    </row>
    <row r="210" spans="1:6">
      <c r="A210" s="3" t="s">
        <v>19</v>
      </c>
      <c r="B210" s="5">
        <v>6</v>
      </c>
    </row>
    <row r="211" spans="1:6">
      <c r="A211" s="3" t="s">
        <v>20</v>
      </c>
      <c r="B211" s="5">
        <v>1.5</v>
      </c>
    </row>
    <row r="212" spans="1:6">
      <c r="A212" s="3" t="s">
        <v>21</v>
      </c>
      <c r="B212" s="5">
        <v>15</v>
      </c>
    </row>
    <row r="213" spans="1:6">
      <c r="A213"/>
      <c r="B213"/>
    </row>
    <row r="215" spans="1:6">
      <c r="A215" s="9" t="s">
        <v>14</v>
      </c>
    </row>
    <row r="216" spans="1:6">
      <c r="A216" s="5">
        <v>5</v>
      </c>
      <c r="F216" s="12"/>
    </row>
    <row r="217" spans="1:6">
      <c r="A217" s="5">
        <v>4</v>
      </c>
      <c r="F217" s="12"/>
    </row>
    <row r="218" spans="1:6">
      <c r="A218" s="5">
        <v>7</v>
      </c>
      <c r="B218" s="3" t="s">
        <v>22</v>
      </c>
      <c r="C218" s="5">
        <f>AVERAGE(A216:A230)</f>
        <v>4.2666666666666666</v>
      </c>
      <c r="F218" s="12"/>
    </row>
    <row r="219" spans="1:6">
      <c r="A219" s="5">
        <v>5</v>
      </c>
      <c r="B219" s="3" t="s">
        <v>23</v>
      </c>
      <c r="C219" s="5">
        <f>_xlfn.STDEV.S(A216:A230)</f>
        <v>1.4864467059144131</v>
      </c>
    </row>
    <row r="220" spans="1:6">
      <c r="A220" s="5">
        <v>4</v>
      </c>
    </row>
    <row r="221" spans="1:6">
      <c r="A221" s="5">
        <v>3</v>
      </c>
    </row>
    <row r="222" spans="1:6">
      <c r="A222" s="5">
        <v>5</v>
      </c>
      <c r="B222" s="3" t="s">
        <v>24</v>
      </c>
      <c r="C222" s="5">
        <f>(AVERAGE(A216:A230) - 6) / (_xlfn.STDEV.S(A216:A230)/SQRT(COUNT(A216:A230)))</f>
        <v>-4.5162541695677332</v>
      </c>
    </row>
    <row r="223" spans="1:6">
      <c r="A223" s="5">
        <v>4</v>
      </c>
      <c r="B223" s="3" t="s">
        <v>25</v>
      </c>
      <c r="C223" s="5">
        <f>_xlfn.T.DIST(C222,14,TRUE)</f>
        <v>2.4195422007131898E-4</v>
      </c>
    </row>
    <row r="224" spans="1:6">
      <c r="A224" s="5">
        <v>1</v>
      </c>
    </row>
    <row r="225" spans="1:1">
      <c r="A225" s="5">
        <v>4</v>
      </c>
    </row>
    <row r="226" spans="1:1">
      <c r="A226" s="5">
        <v>5</v>
      </c>
    </row>
    <row r="227" spans="1:1">
      <c r="A227" s="5">
        <v>2</v>
      </c>
    </row>
    <row r="228" spans="1:1">
      <c r="A228" s="5">
        <v>6</v>
      </c>
    </row>
    <row r="229" spans="1:1">
      <c r="A229" s="5">
        <v>4</v>
      </c>
    </row>
    <row r="230" spans="1:1">
      <c r="A230" s="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2026-01-08T22:24:14Z</dcterms:created>
  <dcterms:modified xsi:type="dcterms:W3CDTF">2026-01-15T23:21:14Z</dcterms:modified>
  <cp:category/>
  <cp:contentStatus/>
</cp:coreProperties>
</file>